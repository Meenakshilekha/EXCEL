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l597\OneDrive\Documents\"/>
    </mc:Choice>
  </mc:AlternateContent>
  <xr:revisionPtr revIDLastSave="0" documentId="13_ncr:1_{9556FCE6-B014-4BE9-9FC0-3CEFB811548D}" xr6:coauthVersionLast="47" xr6:coauthVersionMax="47" xr10:uidLastSave="{00000000-0000-0000-0000-000000000000}"/>
  <bookViews>
    <workbookView xWindow="-120" yWindow="-120" windowWidth="20730" windowHeight="11040" activeTab="1" xr2:uid="{9BB65F35-3C08-4A32-8E52-E522E1D56241}"/>
  </bookViews>
  <sheets>
    <sheet name="List" sheetId="2" r:id="rId1"/>
    <sheet name="Form" sheetId="1" r:id="rId2"/>
    <sheet name="Macrorecording" sheetId="4" r:id="rId3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4" l="1"/>
  <c r="C6" i="4"/>
  <c r="D8" i="4"/>
  <c r="C8" i="4"/>
  <c r="D11" i="1"/>
  <c r="C11" i="1"/>
  <c r="E7" i="1"/>
  <c r="B7" i="1"/>
  <c r="B8" i="1"/>
</calcChain>
</file>

<file path=xl/sharedStrings.xml><?xml version="1.0" encoding="utf-8"?>
<sst xmlns="http://schemas.openxmlformats.org/spreadsheetml/2006/main" count="60" uniqueCount="31">
  <si>
    <t>Tax  Invoice</t>
  </si>
  <si>
    <t>M&amp;M Technologies</t>
  </si>
  <si>
    <t>Sreekaryam,Trivandrum</t>
  </si>
  <si>
    <t>Invoice No:</t>
  </si>
  <si>
    <t>Date:</t>
  </si>
  <si>
    <t>Address</t>
  </si>
  <si>
    <t xml:space="preserve">                                                                                                                Gross Amount&gt;&gt;</t>
  </si>
  <si>
    <t xml:space="preserve">                                                                                                                Add: GST(5%)</t>
  </si>
  <si>
    <t xml:space="preserve">                                                                                                                Net Amount&gt;&gt;</t>
  </si>
  <si>
    <t>Customer</t>
  </si>
  <si>
    <t>Type</t>
  </si>
  <si>
    <t>Tintin</t>
  </si>
  <si>
    <t>Ajay</t>
  </si>
  <si>
    <t>Meena</t>
  </si>
  <si>
    <t>Roopa</t>
  </si>
  <si>
    <t>Appu</t>
  </si>
  <si>
    <t>Deepti</t>
  </si>
  <si>
    <t>Pattom,Trivandrum</t>
  </si>
  <si>
    <t>Punaloor,Kochi</t>
  </si>
  <si>
    <t>Shasthamagalam,Trivandrum</t>
  </si>
  <si>
    <t>Kariyam,Trivandrum</t>
  </si>
  <si>
    <t>Employee</t>
  </si>
  <si>
    <t>EX-Employee</t>
  </si>
  <si>
    <t>Sl No</t>
  </si>
  <si>
    <t>SL No</t>
  </si>
  <si>
    <t>Aristo Junction,Thambanoor,9656111954</t>
  </si>
  <si>
    <t>Thampanoor,Trivandrum</t>
  </si>
  <si>
    <t>Address:</t>
  </si>
  <si>
    <t xml:space="preserve">   Type</t>
  </si>
  <si>
    <t>Salary</t>
  </si>
  <si>
    <t>Name: M&amp;M Technologies invoicesheet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</si>
</sst>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lgerian"/>
      <family val="5"/>
    </font>
    <font>
      <b/>
      <sz val="11"/>
      <color theme="1"/>
      <name val="Cavolini"/>
      <family val="4"/>
    </font>
    <font>
      <b/>
      <sz val="11"/>
      <color theme="1" tint="0.3499862666707357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1" fillId="2" borderId="0" xfId="0" applyFont="1" applyFill="1"/>
    <xf numFmtId="0" fontId="0" fillId="3" borderId="0" xfId="0" applyFont="1" applyFill="1" applyBorder="1" applyAlignment="1">
      <alignment horizontal="center"/>
    </xf>
    <xf numFmtId="0" fontId="0" fillId="0" borderId="0" xfId="0" applyFont="1"/>
    <xf numFmtId="0" fontId="4" fillId="3" borderId="1" xfId="0" applyFont="1" applyFill="1" applyBorder="1"/>
    <xf numFmtId="0" fontId="5" fillId="3" borderId="1" xfId="0" applyFont="1" applyFill="1" applyBorder="1"/>
    <xf numFmtId="0" fontId="4" fillId="3" borderId="2" xfId="0" applyFont="1" applyFill="1" applyBorder="1" applyAlignment="1">
      <alignment horizontal="left"/>
    </xf>
    <xf numFmtId="14" fontId="4" fillId="3" borderId="1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0" xfId="0" applyFont="1" applyFill="1"/>
    <xf numFmtId="0" fontId="5" fillId="3" borderId="7" xfId="0" applyFont="1" applyFill="1" applyBorder="1"/>
    <xf numFmtId="0" fontId="4" fillId="3" borderId="0" xfId="0" applyFont="1" applyFill="1"/>
    <xf numFmtId="0" fontId="5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5" fillId="5" borderId="6" xfId="0" applyFont="1" applyFill="1" applyBorder="1" applyAlignment="1"/>
    <xf numFmtId="0" fontId="5" fillId="5" borderId="7" xfId="0" applyFont="1" applyFill="1" applyBorder="1" applyAlignment="1"/>
    <xf numFmtId="0" fontId="5" fillId="5" borderId="1" xfId="0" applyFont="1" applyFill="1" applyBorder="1" applyAlignment="1"/>
    <xf numFmtId="0" fontId="5" fillId="5" borderId="0" xfId="0" applyFont="1" applyFill="1" applyAlignment="1"/>
    <xf numFmtId="0" fontId="5" fillId="5" borderId="8" xfId="0" applyFont="1" applyFill="1" applyBorder="1" applyAlignment="1"/>
    <xf numFmtId="0" fontId="5" fillId="5" borderId="9" xfId="0" applyFont="1" applyFill="1" applyBorder="1" applyAlignment="1"/>
    <xf numFmtId="0" fontId="5" fillId="5" borderId="10" xfId="0" applyFont="1" applyFill="1" applyBorder="1" applyAlignment="1"/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 indent="25"/>
    </xf>
    <xf numFmtId="0" fontId="0" fillId="3" borderId="6" xfId="0" applyFill="1" applyBorder="1" applyAlignment="1">
      <alignment horizontal="left" indent="25"/>
    </xf>
    <xf numFmtId="0" fontId="4" fillId="3" borderId="2" xfId="0" applyFont="1" applyFill="1" applyBorder="1"/>
    <xf numFmtId="0" fontId="4" fillId="3" borderId="3" xfId="0" applyFont="1" applyFill="1" applyBorder="1"/>
    <xf numFmtId="0" fontId="5" fillId="3" borderId="5" xfId="0" applyFont="1" applyFill="1" applyBorder="1" applyAlignment="1">
      <alignment horizontal="center"/>
    </xf>
    <xf numFmtId="0" fontId="5" fillId="3" borderId="2" xfId="0" applyFont="1" applyFill="1" applyBorder="1"/>
    <xf numFmtId="0" fontId="5" fillId="3" borderId="15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4" fillId="3" borderId="2" xfId="0" applyFont="1" applyFill="1" applyBorder="1"/>
    <xf numFmtId="0" fontId="0" fillId="3" borderId="0" xfId="0" applyFill="1" applyBorder="1" applyAlignment="1">
      <alignment horizontal="left" indent="25"/>
    </xf>
    <xf numFmtId="0" fontId="4" fillId="3" borderId="11" xfId="0" applyFont="1" applyFill="1" applyBorder="1" applyAlignment="1">
      <alignment horizontal="left"/>
    </xf>
    <xf numFmtId="0" fontId="4" fillId="3" borderId="11" xfId="0" applyFont="1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82EAE31-C96F-4FA9-AEBE-AC24223183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190499</xdr:colOff>
          <xdr:row>18</xdr:row>
          <xdr:rowOff>85725</xdr:rowOff>
        </xdr:from>
        <xdr:to>
          <xdr:col>10</xdr:col>
          <xdr:colOff>260684</xdr:colOff>
          <xdr:row>21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volini"/>
                  <a:cs typeface="Cavolini"/>
                </a:rPr>
                <a:t>GenerateInvoice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1E464-EF03-4CA5-9F4C-EFA3480867DB}">
  <sheetPr codeName="Sheet2"/>
  <dimension ref="A1:E7"/>
  <sheetViews>
    <sheetView workbookViewId="0">
      <selection activeCell="E2" sqref="E2"/>
    </sheetView>
  </sheetViews>
  <sheetFormatPr defaultRowHeight="15" x14ac:dyDescent="0.25"/>
  <cols>
    <col min="2" max="2" width="13.7109375" customWidth="1"/>
    <col min="3" max="3" width="15" customWidth="1"/>
    <col min="4" max="4" width="13.28515625" customWidth="1"/>
  </cols>
  <sheetData>
    <row r="1" spans="1:5" x14ac:dyDescent="0.25">
      <c r="A1" s="1" t="s">
        <v>23</v>
      </c>
      <c r="B1" s="5" t="s">
        <v>9</v>
      </c>
      <c r="C1" s="5" t="s">
        <v>10</v>
      </c>
      <c r="D1" s="5" t="s">
        <v>5</v>
      </c>
      <c r="E1" s="5" t="s">
        <v>29</v>
      </c>
    </row>
    <row r="2" spans="1:5" x14ac:dyDescent="0.25">
      <c r="A2">
        <v>120</v>
      </c>
      <c r="B2" t="s">
        <v>15</v>
      </c>
      <c r="C2" t="s">
        <v>21</v>
      </c>
      <c r="D2" t="s">
        <v>17</v>
      </c>
      <c r="E2">
        <v>2500</v>
      </c>
    </row>
    <row r="3" spans="1:5" x14ac:dyDescent="0.25">
      <c r="A3">
        <v>121</v>
      </c>
      <c r="B3" t="s">
        <v>11</v>
      </c>
      <c r="C3" t="s">
        <v>22</v>
      </c>
      <c r="D3" t="s">
        <v>18</v>
      </c>
      <c r="E3">
        <v>3000</v>
      </c>
    </row>
    <row r="4" spans="1:5" x14ac:dyDescent="0.25">
      <c r="A4">
        <v>122</v>
      </c>
      <c r="B4" t="s">
        <v>16</v>
      </c>
      <c r="C4" t="s">
        <v>21</v>
      </c>
      <c r="D4" t="s">
        <v>2</v>
      </c>
      <c r="E4">
        <v>3500</v>
      </c>
    </row>
    <row r="5" spans="1:5" x14ac:dyDescent="0.25">
      <c r="A5">
        <v>123</v>
      </c>
      <c r="B5" t="s">
        <v>12</v>
      </c>
      <c r="C5" t="s">
        <v>21</v>
      </c>
      <c r="D5" t="s">
        <v>19</v>
      </c>
      <c r="E5">
        <v>4000</v>
      </c>
    </row>
    <row r="6" spans="1:5" x14ac:dyDescent="0.25">
      <c r="A6">
        <v>124</v>
      </c>
      <c r="B6" t="s">
        <v>13</v>
      </c>
      <c r="C6" t="s">
        <v>22</v>
      </c>
      <c r="D6" t="s">
        <v>20</v>
      </c>
      <c r="E6">
        <v>10000</v>
      </c>
    </row>
    <row r="7" spans="1:5" x14ac:dyDescent="0.25">
      <c r="A7">
        <v>125</v>
      </c>
      <c r="B7" t="s">
        <v>14</v>
      </c>
      <c r="C7" t="s">
        <v>22</v>
      </c>
      <c r="D7" t="s">
        <v>26</v>
      </c>
      <c r="E7">
        <v>165000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970-73A9-4922-A19B-E21C0DBB0003}">
  <sheetPr codeName="Sheet1"/>
  <dimension ref="A1:L22"/>
  <sheetViews>
    <sheetView tabSelected="1" zoomScale="95" zoomScaleNormal="95" workbookViewId="0">
      <selection activeCell="J5" sqref="J5"/>
    </sheetView>
  </sheetViews>
  <sheetFormatPr defaultRowHeight="15" x14ac:dyDescent="0.25"/>
  <cols>
    <col min="2" max="2" width="10.7109375" customWidth="1"/>
  </cols>
  <sheetData>
    <row r="1" spans="1:12" x14ac:dyDescent="0.25">
      <c r="A1" s="32" t="s">
        <v>0</v>
      </c>
      <c r="B1" s="32"/>
      <c r="C1" s="32"/>
      <c r="D1" s="32"/>
      <c r="E1" s="32"/>
      <c r="F1" s="32"/>
      <c r="G1" s="33"/>
      <c r="H1" s="33"/>
      <c r="I1" s="4"/>
      <c r="J1" s="4"/>
      <c r="K1" s="4"/>
      <c r="L1" s="4"/>
    </row>
    <row r="2" spans="1:12" x14ac:dyDescent="0.25">
      <c r="A2" s="32"/>
      <c r="B2" s="32"/>
      <c r="C2" s="32"/>
      <c r="D2" s="32"/>
      <c r="E2" s="32"/>
      <c r="F2" s="32"/>
      <c r="G2" s="43"/>
      <c r="H2" s="43"/>
      <c r="I2" s="3"/>
      <c r="J2" s="3"/>
      <c r="K2" s="3"/>
      <c r="L2" s="3"/>
    </row>
    <row r="3" spans="1:12" x14ac:dyDescent="0.25">
      <c r="A3" s="41" t="s">
        <v>1</v>
      </c>
      <c r="B3" s="41"/>
      <c r="C3" s="41"/>
      <c r="D3" s="41"/>
      <c r="E3" s="41"/>
      <c r="F3" s="41"/>
      <c r="G3" s="41"/>
      <c r="H3" s="41"/>
    </row>
    <row r="4" spans="1:12" x14ac:dyDescent="0.25">
      <c r="A4" s="41"/>
      <c r="B4" s="41"/>
      <c r="C4" s="41"/>
      <c r="D4" s="41"/>
      <c r="E4" s="41"/>
      <c r="F4" s="41"/>
      <c r="G4" s="41"/>
      <c r="H4" s="41"/>
    </row>
    <row r="5" spans="1:12" x14ac:dyDescent="0.25">
      <c r="A5" s="41"/>
      <c r="B5" s="41"/>
      <c r="C5" s="41"/>
      <c r="D5" s="41"/>
      <c r="E5" s="41"/>
      <c r="F5" s="41"/>
      <c r="G5" s="41"/>
      <c r="H5" s="41"/>
    </row>
    <row r="6" spans="1:12" x14ac:dyDescent="0.25">
      <c r="A6" s="6" t="s">
        <v>25</v>
      </c>
      <c r="B6" s="6"/>
      <c r="C6" s="6"/>
      <c r="D6" s="6"/>
      <c r="E6" s="6"/>
      <c r="F6" s="6"/>
      <c r="G6" s="6"/>
      <c r="H6" s="6"/>
    </row>
    <row r="7" spans="1:12" x14ac:dyDescent="0.25">
      <c r="A7" s="44" t="s">
        <v>3</v>
      </c>
      <c r="B7" s="45" t="str">
        <f>"MMT"&amp; TEXT(A11,"000")</f>
        <v>MMT121</v>
      </c>
      <c r="C7" s="45"/>
      <c r="D7" s="45" t="s">
        <v>27</v>
      </c>
      <c r="E7" s="29" t="str">
        <f>VLOOKUP(B11,List!B1:D7,3,FALSE)</f>
        <v>Thampanoor,Trivandrum</v>
      </c>
      <c r="F7" s="30"/>
      <c r="G7" s="30"/>
      <c r="H7" s="31"/>
    </row>
    <row r="8" spans="1:12" x14ac:dyDescent="0.25">
      <c r="A8" s="10" t="s">
        <v>4</v>
      </c>
      <c r="B8" s="11">
        <f ca="1">TODAY()</f>
        <v>45636</v>
      </c>
      <c r="C8" s="12"/>
      <c r="D8" s="13"/>
      <c r="E8" s="36"/>
      <c r="F8" s="14"/>
      <c r="G8" s="14"/>
      <c r="H8" s="15"/>
    </row>
    <row r="9" spans="1:12" x14ac:dyDescent="0.25">
      <c r="A9" s="34" t="s">
        <v>30</v>
      </c>
      <c r="B9" s="35"/>
      <c r="C9" s="35"/>
      <c r="D9" s="35"/>
      <c r="E9" s="38"/>
      <c r="F9" s="16"/>
      <c r="G9" s="16"/>
      <c r="H9" s="17"/>
    </row>
    <row r="10" spans="1:12" x14ac:dyDescent="0.25">
      <c r="A10" s="9" t="s">
        <v>24</v>
      </c>
      <c r="B10" s="8" t="s">
        <v>9</v>
      </c>
      <c r="C10" s="18" t="s">
        <v>28</v>
      </c>
      <c r="D10" s="42" t="s">
        <v>29</v>
      </c>
      <c r="E10" s="39"/>
      <c r="F10" s="16"/>
      <c r="G10" s="16"/>
      <c r="H10" s="19"/>
    </row>
    <row r="11" spans="1:12" x14ac:dyDescent="0.25">
      <c r="A11" s="9">
        <v>121</v>
      </c>
      <c r="B11" s="9" t="s">
        <v>14</v>
      </c>
      <c r="C11" s="9" t="str">
        <f>VLOOKUP(B11,List!B:C,2,FALSE)</f>
        <v>EX-Employee</v>
      </c>
      <c r="D11" s="37">
        <f>VLOOKUP(B11,List!B1:E7,4,FALSE)</f>
        <v>165000</v>
      </c>
      <c r="E11" s="39"/>
      <c r="F11" s="16"/>
      <c r="G11" s="16"/>
      <c r="H11" s="19"/>
    </row>
    <row r="12" spans="1:12" x14ac:dyDescent="0.25">
      <c r="A12" s="9"/>
      <c r="B12" s="9"/>
      <c r="C12" s="9"/>
      <c r="D12" s="37"/>
      <c r="E12" s="39"/>
      <c r="F12" s="16"/>
      <c r="G12" s="16"/>
      <c r="H12" s="19"/>
      <c r="K12" s="3"/>
    </row>
    <row r="13" spans="1:12" x14ac:dyDescent="0.25">
      <c r="A13" s="9"/>
      <c r="B13" s="9"/>
      <c r="C13" s="9"/>
      <c r="D13" s="37"/>
      <c r="E13" s="39"/>
      <c r="F13" s="16"/>
      <c r="G13" s="16"/>
      <c r="H13" s="19"/>
      <c r="K13" s="3"/>
    </row>
    <row r="14" spans="1:12" x14ac:dyDescent="0.25">
      <c r="A14" s="9"/>
      <c r="B14" s="9"/>
      <c r="C14" s="9"/>
      <c r="D14" s="37"/>
      <c r="E14" s="39"/>
      <c r="F14" s="16"/>
      <c r="G14" s="20"/>
      <c r="H14" s="19"/>
    </row>
    <row r="15" spans="1:12" x14ac:dyDescent="0.25">
      <c r="A15" s="9"/>
      <c r="B15" s="9"/>
      <c r="C15" s="9"/>
      <c r="D15" s="37"/>
      <c r="E15" s="39"/>
      <c r="F15" s="16"/>
      <c r="G15" s="20"/>
      <c r="H15" s="19"/>
      <c r="K15" s="2"/>
    </row>
    <row r="16" spans="1:12" x14ac:dyDescent="0.25">
      <c r="A16" s="9"/>
      <c r="B16" s="9"/>
      <c r="C16" s="9"/>
      <c r="D16" s="37"/>
      <c r="E16" s="39"/>
      <c r="F16" s="16"/>
      <c r="G16" s="16"/>
      <c r="H16" s="19"/>
    </row>
    <row r="17" spans="1:9" x14ac:dyDescent="0.25">
      <c r="A17" s="9"/>
      <c r="B17" s="9"/>
      <c r="C17" s="9"/>
      <c r="D17" s="37"/>
      <c r="E17" s="39"/>
      <c r="F17" s="16"/>
      <c r="G17" s="16"/>
      <c r="H17" s="19"/>
    </row>
    <row r="18" spans="1:9" x14ac:dyDescent="0.25">
      <c r="A18" s="9"/>
      <c r="B18" s="9"/>
      <c r="C18" s="9"/>
      <c r="D18" s="37"/>
      <c r="E18" s="40"/>
      <c r="F18" s="16"/>
      <c r="G18" s="21"/>
      <c r="H18" s="19"/>
    </row>
    <row r="19" spans="1:9" x14ac:dyDescent="0.25">
      <c r="A19" s="22" t="s">
        <v>6</v>
      </c>
      <c r="B19" s="22"/>
      <c r="C19" s="22"/>
      <c r="D19" s="22"/>
      <c r="E19" s="26"/>
      <c r="F19" s="22"/>
      <c r="G19" s="23"/>
      <c r="H19" s="24"/>
      <c r="I19" s="3"/>
    </row>
    <row r="20" spans="1:9" x14ac:dyDescent="0.25">
      <c r="A20" s="25" t="s">
        <v>7</v>
      </c>
      <c r="B20" s="25"/>
      <c r="C20" s="25"/>
      <c r="D20" s="25"/>
      <c r="E20" s="26"/>
      <c r="F20" s="25"/>
      <c r="G20" s="26"/>
      <c r="H20" s="26"/>
    </row>
    <row r="21" spans="1:9" x14ac:dyDescent="0.25">
      <c r="A21" s="27" t="s">
        <v>8</v>
      </c>
      <c r="B21" s="27"/>
      <c r="C21" s="27"/>
      <c r="D21" s="27"/>
      <c r="E21" s="28"/>
      <c r="F21" s="27"/>
      <c r="G21" s="28"/>
      <c r="H21" s="24"/>
    </row>
    <row r="22" spans="1:9" x14ac:dyDescent="0.25">
      <c r="A22" s="7"/>
      <c r="B22" s="7"/>
      <c r="C22" s="7"/>
      <c r="D22" s="7"/>
      <c r="E22" s="7"/>
      <c r="F22" s="7"/>
      <c r="G22" s="7"/>
      <c r="H22" s="7"/>
    </row>
  </sheetData>
  <mergeCells count="6">
    <mergeCell ref="E9:E18"/>
    <mergeCell ref="A3:H5"/>
    <mergeCell ref="A6:H6"/>
    <mergeCell ref="E7:H7"/>
    <mergeCell ref="A9:D9"/>
    <mergeCell ref="E8:H8"/>
  </mergeCells>
  <dataValidations count="2">
    <dataValidation type="list" allowBlank="1" showInputMessage="1" showErrorMessage="1" sqref="B11" xr:uid="{9FE62571-73FC-44FD-B417-928B2E947C8E}">
      <formula1>"Appu,Tintin,Ajay,Deepti,Meena,Roopa"</formula1>
    </dataValidation>
    <dataValidation type="list" allowBlank="1" showInputMessage="1" showErrorMessage="1" sqref="B12" xr:uid="{15A7627E-4110-4B76-8E88-364EA9AB03AC}">
      <formula1>"Appu,Tintin,Meena,Ajay,Deepti,Roopa"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cro20">
                <anchor moveWithCells="1" sizeWithCells="1">
                  <from>
                    <xdr:col>8</xdr:col>
                    <xdr:colOff>190500</xdr:colOff>
                    <xdr:row>18</xdr:row>
                    <xdr:rowOff>85725</xdr:rowOff>
                  </from>
                  <to>
                    <xdr:col>10</xdr:col>
                    <xdr:colOff>257175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EA1A-9FDC-4F99-9C30-9CE9090F72E5}">
  <sheetPr codeName="Sheet3"/>
  <dimension ref="A1:D15"/>
  <sheetViews>
    <sheetView workbookViewId="0">
      <selection activeCell="J17" sqref="J17"/>
    </sheetView>
  </sheetViews>
  <sheetFormatPr defaultRowHeight="15" x14ac:dyDescent="0.25"/>
  <cols>
    <col min="3" max="3" width="13" customWidth="1"/>
  </cols>
  <sheetData>
    <row r="1" spans="1:4" x14ac:dyDescent="0.25">
      <c r="A1" t="s">
        <v>23</v>
      </c>
      <c r="B1" t="s">
        <v>9</v>
      </c>
      <c r="C1" t="s">
        <v>10</v>
      </c>
      <c r="D1" t="s">
        <v>29</v>
      </c>
    </row>
    <row r="2" spans="1:4" x14ac:dyDescent="0.25">
      <c r="B2" t="s">
        <v>14</v>
      </c>
      <c r="C2" t="s">
        <v>22</v>
      </c>
      <c r="D2">
        <v>165000</v>
      </c>
    </row>
    <row r="4" spans="1:4" x14ac:dyDescent="0.25">
      <c r="B4" t="s">
        <v>13</v>
      </c>
      <c r="C4" t="s">
        <v>22</v>
      </c>
      <c r="D4">
        <v>10000</v>
      </c>
    </row>
    <row r="6" spans="1:4" x14ac:dyDescent="0.25">
      <c r="B6" s="9" t="s">
        <v>13</v>
      </c>
      <c r="C6" s="9" t="str">
        <f>VLOOKUP(B6,List!B:C,2,FALSE)</f>
        <v>EX-Employee</v>
      </c>
      <c r="D6" s="37" t="e">
        <f>VLOOKUP(B6,List!#REF!,4,FALSE)</f>
        <v>#REF!</v>
      </c>
    </row>
    <row r="8" spans="1:4" x14ac:dyDescent="0.25">
      <c r="B8" s="9" t="s">
        <v>11</v>
      </c>
      <c r="C8" s="9" t="str">
        <f>VLOOKUP(B8,List!B:C,2,FALSE)</f>
        <v>EX-Employee</v>
      </c>
      <c r="D8" s="37" t="e">
        <f>VLOOKUP(B8,List!#REF!,4,FALSE)</f>
        <v>#REF!</v>
      </c>
    </row>
    <row r="10" spans="1:4" x14ac:dyDescent="0.25">
      <c r="B10" t="s">
        <v>16</v>
      </c>
      <c r="C10" t="s">
        <v>21</v>
      </c>
    </row>
    <row r="11" spans="1:4" x14ac:dyDescent="0.25">
      <c r="B11" t="s">
        <v>11</v>
      </c>
      <c r="C11" t="s">
        <v>22</v>
      </c>
    </row>
    <row r="12" spans="1:4" x14ac:dyDescent="0.25">
      <c r="B12" t="s">
        <v>14</v>
      </c>
      <c r="C12" t="s">
        <v>22</v>
      </c>
    </row>
    <row r="13" spans="1:4" x14ac:dyDescent="0.25">
      <c r="B13" t="s">
        <v>13</v>
      </c>
      <c r="C13" t="s">
        <v>22</v>
      </c>
    </row>
    <row r="14" spans="1:4" x14ac:dyDescent="0.25">
      <c r="B14" t="s">
        <v>16</v>
      </c>
      <c r="C14" t="s">
        <v>21</v>
      </c>
    </row>
    <row r="15" spans="1:4" x14ac:dyDescent="0.25">
      <c r="B15" t="s">
        <v>16</v>
      </c>
      <c r="C15" t="s">
        <v>21</v>
      </c>
    </row>
  </sheetData>
  <dataValidations count="2">
    <dataValidation type="list" allowBlank="1" showInputMessage="1" showErrorMessage="1" sqref="B10:B15 B8 B6" xr:uid="{18A64EC6-A208-4F45-994D-7F2F5834AEED}">
      <formula1>"Appu,Tintin,Ajay,Deepti,Meena,Roopa"</formula1>
    </dataValidation>
    <dataValidation type="list" allowBlank="1" showInputMessage="1" showErrorMessage="1" sqref="B9" xr:uid="{978E9808-58CA-4E0A-AED6-E8043F359C89}">
      <formula1>"Appu,Tintin,Meena,Ajay,Deepti,Roopa"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ca48ea3-8c75-4d36-b64f-70604b11fd22}" enabled="1" method="Standard" siteId="{3ac94b33-9135-4821-9502-eafda6592a3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Form</vt:lpstr>
      <vt:lpstr>Macrorecording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Nair, Rahul [JJCUS NON-J&amp;J]</dc:creator>
  <cp:lastModifiedBy>Nair, Rahul [JJCUS NON-J&amp;J]</cp:lastModifiedBy>
  <dcterms:created xsi:type="dcterms:W3CDTF">2024-12-06T12:50:09Z</dcterms:created>
  <dcterms:modified xsi:type="dcterms:W3CDTF">2024-12-10T05:03:30Z</dcterms:modified>
</cp:coreProperties>
</file>